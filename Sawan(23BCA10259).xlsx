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wan\OneDrive\Desktop\"/>
    </mc:Choice>
  </mc:AlternateContent>
  <xr:revisionPtr revIDLastSave="0" documentId="13_ncr:1_{09EA9EF7-DDDE-405F-A73F-AC0DB30BEA29}" xr6:coauthVersionLast="47" xr6:coauthVersionMax="47" xr10:uidLastSave="{00000000-0000-0000-0000-000000000000}"/>
  <bookViews>
    <workbookView xWindow="-110" yWindow="-110" windowWidth="19420" windowHeight="12220" tabRatio="791" activeTab="4" xr2:uid="{00000000-000D-0000-FFFF-FFFF00000000}"/>
  </bookViews>
  <sheets>
    <sheet name="User Profile" sheetId="1" r:id="rId1"/>
    <sheet name="Workout Log" sheetId="2" r:id="rId2"/>
    <sheet name="Measurements" sheetId="3" r:id="rId3"/>
    <sheet name="Dashboard" sheetId="5" r:id="rId4"/>
    <sheet name="Weekly Summary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5" l="1"/>
  <c r="C33" i="5"/>
  <c r="F5" i="5"/>
  <c r="B5" i="5"/>
  <c r="C19" i="4"/>
  <c r="C18" i="4"/>
  <c r="C17" i="4"/>
  <c r="C16" i="4"/>
  <c r="C15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I18" i="2"/>
  <c r="G18" i="2"/>
  <c r="F18" i="2"/>
  <c r="H16" i="2"/>
  <c r="H15" i="2"/>
  <c r="H14" i="2"/>
  <c r="H13" i="2"/>
  <c r="H18" i="2" s="1"/>
  <c r="H12" i="2"/>
  <c r="H11" i="2"/>
  <c r="H10" i="2"/>
  <c r="H9" i="2"/>
  <c r="H8" i="2"/>
  <c r="H7" i="2"/>
  <c r="H6" i="2"/>
  <c r="H5" i="5" s="1"/>
  <c r="H5" i="2"/>
  <c r="C18" i="1"/>
  <c r="C34" i="5" s="1"/>
  <c r="C17" i="1"/>
  <c r="C16" i="1"/>
  <c r="D5" i="5" l="1"/>
  <c r="C19" i="1"/>
  <c r="C35" i="5" s="1"/>
</calcChain>
</file>

<file path=xl/sharedStrings.xml><?xml version="1.0" encoding="utf-8"?>
<sst xmlns="http://schemas.openxmlformats.org/spreadsheetml/2006/main" count="162" uniqueCount="129">
  <si>
    <t>User Profile Sheet</t>
  </si>
  <si>
    <t xml:space="preserve">  PERSONAL DETAILS</t>
  </si>
  <si>
    <t>Field</t>
  </si>
  <si>
    <t>Value</t>
  </si>
  <si>
    <t>Unit</t>
  </si>
  <si>
    <t>Notes</t>
  </si>
  <si>
    <t>Full Name</t>
  </si>
  <si>
    <t>—</t>
  </si>
  <si>
    <t>Enter your name here</t>
  </si>
  <si>
    <t>Age</t>
  </si>
  <si>
    <t>Years</t>
  </si>
  <si>
    <t>Height</t>
  </si>
  <si>
    <t>cm</t>
  </si>
  <si>
    <t>In centimetres</t>
  </si>
  <si>
    <t>Weight</t>
  </si>
  <si>
    <t>kg</t>
  </si>
  <si>
    <t>Current body weight</t>
  </si>
  <si>
    <t>Gender</t>
  </si>
  <si>
    <t>Male</t>
  </si>
  <si>
    <t>Male / Female</t>
  </si>
  <si>
    <t>Fitness Goal</t>
  </si>
  <si>
    <t>Weight Loss</t>
  </si>
  <si>
    <t>Weight Loss / Muscle Gain</t>
  </si>
  <si>
    <t>Start Date</t>
  </si>
  <si>
    <t>Date</t>
  </si>
  <si>
    <t>Program start date</t>
  </si>
  <si>
    <t xml:space="preserve">  BMI CALCULATOR</t>
  </si>
  <si>
    <t>Metric</t>
  </si>
  <si>
    <t>Result</t>
  </si>
  <si>
    <t>Height (m)</t>
  </si>
  <si>
    <t>m</t>
  </si>
  <si>
    <t>Auto from cm above</t>
  </si>
  <si>
    <t>Weight (kg)</t>
  </si>
  <si>
    <t>From profile above</t>
  </si>
  <si>
    <t>BMI Score</t>
  </si>
  <si>
    <t>kg/m²</t>
  </si>
  <si>
    <t>Weight ÷ Height²</t>
  </si>
  <si>
    <t>BMI Category</t>
  </si>
  <si>
    <t>WHO Classification</t>
  </si>
  <si>
    <t xml:space="preserve">  BMI REFERENCE</t>
  </si>
  <si>
    <t>Category</t>
  </si>
  <si>
    <t>Range</t>
  </si>
  <si>
    <t>Color Code</t>
  </si>
  <si>
    <t>Action</t>
  </si>
  <si>
    <t>Underweight</t>
  </si>
  <si>
    <t>&lt; 18.5</t>
  </si>
  <si>
    <t>Blue</t>
  </si>
  <si>
    <t>Increase caloric intake</t>
  </si>
  <si>
    <t>Normal</t>
  </si>
  <si>
    <t>18.5–24.9</t>
  </si>
  <si>
    <t>Green</t>
  </si>
  <si>
    <t>Maintain current routine</t>
  </si>
  <si>
    <t>Overweight</t>
  </si>
  <si>
    <t>25–29.9</t>
  </si>
  <si>
    <t>Yellow</t>
  </si>
  <si>
    <t>More cardio + diet control</t>
  </si>
  <si>
    <t>Obese</t>
  </si>
  <si>
    <t>≥ 30</t>
  </si>
  <si>
    <t>Red</t>
  </si>
  <si>
    <t>Consult a doctor</t>
  </si>
  <si>
    <t>Log every session — Date, Exercise, Sets, Reps, Weight</t>
  </si>
  <si>
    <t>Exercise</t>
  </si>
  <si>
    <t>Muscle Group</t>
  </si>
  <si>
    <t>Sets</t>
  </si>
  <si>
    <t>Reps</t>
  </si>
  <si>
    <t>Volume</t>
  </si>
  <si>
    <t>Bench Press</t>
  </si>
  <si>
    <t>Chest</t>
  </si>
  <si>
    <t>Incline Press</t>
  </si>
  <si>
    <t>Squats</t>
  </si>
  <si>
    <t>Legs</t>
  </si>
  <si>
    <t>Leg Press</t>
  </si>
  <si>
    <t>Deadlift</t>
  </si>
  <si>
    <t>Back</t>
  </si>
  <si>
    <t>Pull-ups</t>
  </si>
  <si>
    <t>Shoulder Press</t>
  </si>
  <si>
    <t>Shoulders</t>
  </si>
  <si>
    <t>Bicep Curls</t>
  </si>
  <si>
    <t>Arms</t>
  </si>
  <si>
    <t>Tricep Dips</t>
  </si>
  <si>
    <t>Treadmill</t>
  </si>
  <si>
    <t>Cardio</t>
  </si>
  <si>
    <t>TOTALS</t>
  </si>
  <si>
    <t>Track your body changes every week</t>
  </si>
  <si>
    <t>Weight
(kg)</t>
  </si>
  <si>
    <t>Chest
(cm)</t>
  </si>
  <si>
    <t>Waist
(cm)</t>
  </si>
  <si>
    <t>Arms
(cm)</t>
  </si>
  <si>
    <t>Thighs
(cm)</t>
  </si>
  <si>
    <t>Wt Change</t>
  </si>
  <si>
    <t>Chest Δ</t>
  </si>
  <si>
    <t>Waist Δ</t>
  </si>
  <si>
    <t>Arms Δ</t>
  </si>
  <si>
    <t>Weekly averages, totals, and improvement percentages</t>
  </si>
  <si>
    <t>Week</t>
  </si>
  <si>
    <t>Avg Weight
(kg)</t>
  </si>
  <si>
    <t>Workouts</t>
  </si>
  <si>
    <t>Total Volume
(kg)</t>
  </si>
  <si>
    <t>Weight
Change %</t>
  </si>
  <si>
    <t>Volume
Change %</t>
  </si>
  <si>
    <t>Status</t>
  </si>
  <si>
    <t>Week 1</t>
  </si>
  <si>
    <t>Baseline</t>
  </si>
  <si>
    <t>🚀 Start</t>
  </si>
  <si>
    <t>Week 2</t>
  </si>
  <si>
    <t>Week 3</t>
  </si>
  <si>
    <t>Week 4</t>
  </si>
  <si>
    <t>Week 5</t>
  </si>
  <si>
    <t>Week 6</t>
  </si>
  <si>
    <t xml:space="preserve">  OVERALL SUMMARY</t>
  </si>
  <si>
    <t>Start Weight (kg)</t>
  </si>
  <si>
    <t>Current Weight (kg)</t>
  </si>
  <si>
    <t>Total Weight Lost</t>
  </si>
  <si>
    <t>Best Volume Week</t>
  </si>
  <si>
    <t>Average Volume/Week</t>
  </si>
  <si>
    <t>Your complete fitness summary at a glance</t>
  </si>
  <si>
    <t>Current Weight</t>
  </si>
  <si>
    <t>Total Workouts</t>
  </si>
  <si>
    <t>Total Volume</t>
  </si>
  <si>
    <t>sessions</t>
  </si>
  <si>
    <t xml:space="preserve">  QUICK STATS</t>
  </si>
  <si>
    <t>Starting Weight</t>
  </si>
  <si>
    <t>Current BMI</t>
  </si>
  <si>
    <t>Sawan</t>
  </si>
  <si>
    <t xml:space="preserve">  GYM PROGRESS DASHBOARD</t>
  </si>
  <si>
    <t xml:space="preserve">  BODY MEASUREMENTS TRACKER</t>
  </si>
  <si>
    <t xml:space="preserve"> WEEKLY PROGRESS SUMMARY</t>
  </si>
  <si>
    <t>DAILY WORKOUT LOG</t>
  </si>
  <si>
    <t xml:space="preserve"> GYM PROGRESS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</si>
</sst>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dd\-mmm\-yy"/>
    <numFmt numFmtId="166" formatCode="\+0.0;\-0.0;\-"/>
    <numFmt numFmtId="167" formatCode="0.0\%"/>
    <numFmt numFmtId="168" formatCode="0.0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F3864"/>
      <name val="Calibri"/>
      <charset val="1"/>
    </font>
    <font>
      <sz val="10"/>
      <color rgb="FF333333"/>
      <name val="Calibri"/>
      <charset val="1"/>
    </font>
    <font>
      <sz val="10"/>
      <color rgb="FF666666"/>
      <name val="Calibri"/>
      <charset val="1"/>
    </font>
    <font>
      <b/>
      <sz val="11"/>
      <color rgb="FF1F3864"/>
      <name val="Calibri"/>
      <charset val="1"/>
    </font>
    <font>
      <b/>
      <sz val="14"/>
      <color rgb="FFFFFFFF"/>
      <name val="Calibri"/>
      <charset val="1"/>
    </font>
    <font>
      <sz val="10"/>
      <name val="Calibri"/>
      <charset val="1"/>
    </font>
    <font>
      <sz val="10"/>
      <color rgb="FF888888"/>
      <name val="Calibri"/>
      <charset val="1"/>
    </font>
    <font>
      <b/>
      <sz val="10"/>
      <name val="Calibri"/>
      <charset val="1"/>
    </font>
    <font>
      <b/>
      <sz val="10"/>
      <color rgb="FF333333"/>
      <name val="Calibri"/>
      <charset val="1"/>
    </font>
    <font>
      <sz val="9"/>
      <color rgb="FF1F3864"/>
      <name val="Calibri"/>
      <charset val="1"/>
    </font>
    <font>
      <sz val="9"/>
      <color rgb="FF1B5E20"/>
      <name val="Calibri"/>
      <charset val="1"/>
    </font>
    <font>
      <sz val="9"/>
      <color rgb="FF7B4F00"/>
      <name val="Calibri"/>
      <charset val="1"/>
    </font>
    <font>
      <sz val="9"/>
      <color rgb="FF8B0000"/>
      <name val="Calibri"/>
      <charset val="1"/>
    </font>
    <font>
      <b/>
      <sz val="18"/>
      <color rgb="FF1F3864"/>
      <name val="Calibri"/>
      <charset val="1"/>
    </font>
    <font>
      <b/>
      <sz val="18"/>
      <color rgb="FF1B5E20"/>
      <name val="Calibri"/>
      <charset val="1"/>
    </font>
    <font>
      <b/>
      <sz val="18"/>
      <color rgb="FF7B4F00"/>
      <name val="Calibri"/>
      <charset val="1"/>
    </font>
    <font>
      <b/>
      <sz val="18"/>
      <color rgb="FF8B00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DEEFF"/>
      </patternFill>
    </fill>
    <fill>
      <patternFill patternType="solid">
        <fgColor rgb="FFFFFFFF"/>
        <bgColor rgb="FFF5F5F5"/>
      </patternFill>
    </fill>
    <fill>
      <patternFill patternType="solid">
        <fgColor rgb="FFD9D9D9"/>
        <bgColor rgb="FFD6E4F0"/>
      </patternFill>
    </fill>
    <fill>
      <patternFill patternType="solid">
        <fgColor rgb="FFF5F5F5"/>
        <bgColor rgb="FFFFFFFF"/>
      </patternFill>
    </fill>
    <fill>
      <patternFill patternType="solid">
        <fgColor rgb="FFFFF2CC"/>
        <bgColor rgb="FFF5F5F5"/>
      </patternFill>
    </fill>
    <fill>
      <patternFill patternType="solid">
        <fgColor rgb="FFDDEEFF"/>
        <bgColor rgb="FFD6E4F0"/>
      </patternFill>
    </fill>
    <fill>
      <patternFill patternType="solid">
        <fgColor rgb="FFE2EFDA"/>
        <bgColor rgb="FFDDEEFF"/>
      </patternFill>
    </fill>
    <fill>
      <patternFill patternType="solid">
        <fgColor rgb="FFFFDDD9"/>
        <bgColor rgb="FFFFF2CC"/>
      </patternFill>
    </fill>
  </fills>
  <borders count="14">
    <border>
      <left/>
      <right/>
      <top/>
      <bottom/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 style="thin">
        <color rgb="FF888888"/>
      </left>
      <right/>
      <top/>
      <bottom style="medium">
        <color rgb="FF888888"/>
      </bottom>
      <diagonal/>
    </border>
    <border>
      <left/>
      <right/>
      <top/>
      <bottom style="medium">
        <color rgb="FF88888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indent="1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164" fontId="5" fillId="5" borderId="5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2" fontId="7" fillId="8" borderId="4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165" fontId="9" fillId="7" borderId="5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166" fontId="11" fillId="4" borderId="4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167" fontId="11" fillId="5" borderId="5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167" fontId="11" fillId="7" borderId="5" xfId="0" applyNumberFormat="1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0" fillId="0" borderId="0" xfId="0"/>
    <xf numFmtId="2" fontId="4" fillId="8" borderId="9" xfId="0" applyNumberFormat="1" applyFont="1" applyFill="1" applyBorder="1" applyAlignment="1">
      <alignment horizontal="center" vertical="center"/>
    </xf>
    <xf numFmtId="168" fontId="17" fillId="4" borderId="8" xfId="0" applyNumberFormat="1" applyFont="1" applyFill="1" applyBorder="1" applyAlignment="1">
      <alignment horizontal="center" vertical="center"/>
    </xf>
    <xf numFmtId="2" fontId="18" fillId="10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7B4F00"/>
      <rgbColor rgb="FF800080"/>
      <rgbColor rgb="FF008080"/>
      <rgbColor rgb="FFBBBBBB"/>
      <rgbColor rgb="FF878787"/>
      <rgbColor rgb="FF888888"/>
      <rgbColor rgb="FF993366"/>
      <rgbColor rgb="FFFFF2CC"/>
      <rgbColor rgb="FFDDEE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5F5F5"/>
      <rgbColor rgb="FFD6E4F0"/>
      <rgbColor rgb="FFFFDDD9"/>
      <rgbColor rgb="FFD9D9D9"/>
      <rgbColor rgb="FFFFC7CE"/>
      <rgbColor rgb="FF2E75B6"/>
      <rgbColor rgb="FF33CCCC"/>
      <rgbColor rgb="FF99CC00"/>
      <rgbColor rgb="FFFFCC00"/>
      <rgbColor rgb="FFFF9900"/>
      <rgbColor rgb="FFC55A11"/>
      <rgbColor rgb="FF666666"/>
      <rgbColor rgb="FF999999"/>
      <rgbColor rgb="FF1F3864"/>
      <rgbColor rgb="FF4CAF50"/>
      <rgbColor rgb="FF003300"/>
      <rgbColor rgb="FF385723"/>
      <rgbColor rgb="FF833C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Weight Progress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Measurements!$C$4</c:f>
              <c:strCache>
                <c:ptCount val="1"/>
                <c:pt idx="0">
                  <c:v>Weight
(kg)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Measurements!$C$5:$C$11</c:f>
              <c:numCache>
                <c:formatCode>General</c:formatCode>
                <c:ptCount val="7"/>
                <c:pt idx="0">
                  <c:v>76</c:v>
                </c:pt>
                <c:pt idx="1">
                  <c:v>75.2</c:v>
                </c:pt>
                <c:pt idx="2">
                  <c:v>74.5</c:v>
                </c:pt>
                <c:pt idx="3">
                  <c:v>73.8</c:v>
                </c:pt>
                <c:pt idx="4">
                  <c:v>73</c:v>
                </c:pt>
                <c:pt idx="5">
                  <c:v>72.5</c:v>
                </c:pt>
                <c:pt idx="6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19-4F0B-8F8B-667531F0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59960"/>
        <c:axId val="29158293"/>
      </c:lineChart>
      <c:catAx>
        <c:axId val="9959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58293"/>
        <c:crosses val="autoZero"/>
        <c:auto val="1"/>
        <c:lblAlgn val="ctr"/>
        <c:lblOffset val="100"/>
        <c:noMultiLvlLbl val="0"/>
      </c:catAx>
      <c:valAx>
        <c:axId val="29158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Weight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59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Weekly Volume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Summary'!$E$4</c:f>
              <c:strCache>
                <c:ptCount val="1"/>
                <c:pt idx="0">
                  <c:v>Total Volume
(kg)</c:v>
                </c:pt>
              </c:strCache>
            </c:strRef>
          </c:tx>
          <c:spPr>
            <a:solidFill>
              <a:srgbClr val="4CAF5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'Weekly Summary'!$E$5:$E$10</c:f>
              <c:numCache>
                <c:formatCode>General</c:formatCode>
                <c:ptCount val="6"/>
                <c:pt idx="0">
                  <c:v>3200</c:v>
                </c:pt>
                <c:pt idx="1">
                  <c:v>3450</c:v>
                </c:pt>
                <c:pt idx="2">
                  <c:v>3600</c:v>
                </c:pt>
                <c:pt idx="3">
                  <c:v>3800</c:v>
                </c:pt>
                <c:pt idx="4">
                  <c:v>4100</c:v>
                </c:pt>
                <c:pt idx="5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4-4095-9C01-437FFE575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40337"/>
        <c:axId val="67529563"/>
      </c:barChart>
      <c:catAx>
        <c:axId val="577403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29563"/>
        <c:crosses val="autoZero"/>
        <c:auto val="1"/>
        <c:lblAlgn val="ctr"/>
        <c:lblOffset val="100"/>
        <c:noMultiLvlLbl val="0"/>
      </c:catAx>
      <c:valAx>
        <c:axId val="67529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40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120960</xdr:colOff>
      <xdr:row>25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</xdr:row>
      <xdr:rowOff>0</xdr:rowOff>
    </xdr:from>
    <xdr:to>
      <xdr:col>11</xdr:col>
      <xdr:colOff>496080</xdr:colOff>
      <xdr:row>25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E26"/>
  <sheetViews>
    <sheetView showGridLines="0"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defaultColWidth="8.6328125" defaultRowHeight="14.5" x14ac:dyDescent="0.35"/>
  <cols>
    <col min="1" max="1" width="11.81640625" customWidth="1"/>
    <col min="2" max="2" width="12.36328125" bestFit="1" customWidth="1"/>
    <col min="3" max="3" width="22" customWidth="1"/>
    <col min="4" max="4" width="14" customWidth="1"/>
    <col min="5" max="5" width="22" customWidth="1"/>
    <col min="6" max="6" width="2" customWidth="1"/>
  </cols>
  <sheetData>
    <row r="1" spans="2:5" ht="36" customHeight="1" thickBot="1" x14ac:dyDescent="0.4">
      <c r="B1" s="27" t="s">
        <v>128</v>
      </c>
      <c r="C1" s="27"/>
      <c r="D1" s="27"/>
      <c r="E1" s="27"/>
    </row>
    <row r="2" spans="2:5" ht="24" customHeight="1" x14ac:dyDescent="0.35">
      <c r="B2" s="28" t="s">
        <v>0</v>
      </c>
      <c r="C2" s="29"/>
      <c r="D2" s="29"/>
      <c r="E2" s="29"/>
    </row>
    <row r="3" spans="2:5" ht="7.5" customHeight="1" x14ac:dyDescent="0.35"/>
    <row r="4" spans="2:5" ht="21.75" customHeight="1" thickBot="1" x14ac:dyDescent="0.4">
      <c r="B4" s="30" t="s">
        <v>1</v>
      </c>
      <c r="C4" s="31"/>
      <c r="D4" s="31"/>
      <c r="E4" s="31"/>
    </row>
    <row r="5" spans="2:5" ht="21.75" customHeight="1" thickBot="1" x14ac:dyDescent="0.4">
      <c r="B5" s="1" t="s">
        <v>2</v>
      </c>
      <c r="C5" s="1" t="s">
        <v>3</v>
      </c>
      <c r="D5" s="1" t="s">
        <v>4</v>
      </c>
      <c r="E5" s="1" t="s">
        <v>5</v>
      </c>
    </row>
    <row r="6" spans="2:5" ht="21.75" customHeight="1" x14ac:dyDescent="0.35">
      <c r="B6" s="2" t="s">
        <v>6</v>
      </c>
      <c r="C6" s="3" t="s">
        <v>123</v>
      </c>
      <c r="D6" s="4" t="s">
        <v>7</v>
      </c>
      <c r="E6" s="5" t="s">
        <v>8</v>
      </c>
    </row>
    <row r="7" spans="2:5" ht="21.75" customHeight="1" x14ac:dyDescent="0.35">
      <c r="B7" s="2" t="s">
        <v>9</v>
      </c>
      <c r="C7" s="6">
        <v>21</v>
      </c>
      <c r="D7" s="4" t="s">
        <v>10</v>
      </c>
      <c r="E7" s="7"/>
    </row>
    <row r="8" spans="2:5" ht="21.75" customHeight="1" x14ac:dyDescent="0.35">
      <c r="B8" s="2" t="s">
        <v>11</v>
      </c>
      <c r="C8" s="3">
        <v>179</v>
      </c>
      <c r="D8" s="4" t="s">
        <v>12</v>
      </c>
      <c r="E8" s="5" t="s">
        <v>13</v>
      </c>
    </row>
    <row r="9" spans="2:5" ht="21.75" customHeight="1" x14ac:dyDescent="0.35">
      <c r="B9" s="2" t="s">
        <v>14</v>
      </c>
      <c r="C9" s="6">
        <v>79</v>
      </c>
      <c r="D9" s="4" t="s">
        <v>15</v>
      </c>
      <c r="E9" s="7" t="s">
        <v>16</v>
      </c>
    </row>
    <row r="10" spans="2:5" ht="21.75" customHeight="1" x14ac:dyDescent="0.35">
      <c r="B10" s="2" t="s">
        <v>17</v>
      </c>
      <c r="C10" s="3" t="s">
        <v>18</v>
      </c>
      <c r="D10" s="4" t="s">
        <v>7</v>
      </c>
      <c r="E10" s="5" t="s">
        <v>19</v>
      </c>
    </row>
    <row r="11" spans="2:5" ht="21.75" customHeight="1" x14ac:dyDescent="0.35">
      <c r="B11" s="2" t="s">
        <v>20</v>
      </c>
      <c r="C11" s="6" t="s">
        <v>21</v>
      </c>
      <c r="D11" s="4" t="s">
        <v>7</v>
      </c>
      <c r="E11" s="7" t="s">
        <v>22</v>
      </c>
    </row>
    <row r="12" spans="2:5" ht="21.75" customHeight="1" x14ac:dyDescent="0.35">
      <c r="B12" s="2" t="s">
        <v>23</v>
      </c>
      <c r="C12" s="8">
        <v>46125</v>
      </c>
      <c r="D12" s="4" t="s">
        <v>24</v>
      </c>
      <c r="E12" s="5" t="s">
        <v>25</v>
      </c>
    </row>
    <row r="13" spans="2:5" ht="7.5" customHeight="1" x14ac:dyDescent="0.35"/>
    <row r="14" spans="2:5" ht="21.75" customHeight="1" x14ac:dyDescent="0.35">
      <c r="B14" s="32" t="s">
        <v>26</v>
      </c>
      <c r="C14" s="32"/>
      <c r="D14" s="32"/>
      <c r="E14" s="32"/>
    </row>
    <row r="15" spans="2:5" ht="21.75" customHeight="1" x14ac:dyDescent="0.35">
      <c r="B15" s="1" t="s">
        <v>27</v>
      </c>
      <c r="C15" s="1" t="s">
        <v>28</v>
      </c>
      <c r="D15" s="1" t="s">
        <v>4</v>
      </c>
      <c r="E15" s="1" t="s">
        <v>5</v>
      </c>
    </row>
    <row r="16" spans="2:5" ht="21.75" customHeight="1" x14ac:dyDescent="0.35">
      <c r="B16" s="2" t="s">
        <v>29</v>
      </c>
      <c r="C16" s="9">
        <f>C8/100</f>
        <v>1.79</v>
      </c>
      <c r="D16" s="4" t="s">
        <v>30</v>
      </c>
      <c r="E16" s="5" t="s">
        <v>31</v>
      </c>
    </row>
    <row r="17" spans="2:5" ht="21.75" customHeight="1" x14ac:dyDescent="0.35">
      <c r="B17" s="2" t="s">
        <v>32</v>
      </c>
      <c r="C17" s="9">
        <f>C9</f>
        <v>79</v>
      </c>
      <c r="D17" s="4" t="s">
        <v>15</v>
      </c>
      <c r="E17" s="5" t="s">
        <v>33</v>
      </c>
    </row>
    <row r="18" spans="2:5" ht="21.75" customHeight="1" x14ac:dyDescent="0.35">
      <c r="B18" s="2" t="s">
        <v>34</v>
      </c>
      <c r="C18" s="10">
        <f>C9/((C8/100)^2)</f>
        <v>24.655909615804749</v>
      </c>
      <c r="D18" s="4" t="s">
        <v>35</v>
      </c>
      <c r="E18" s="5" t="s">
        <v>36</v>
      </c>
    </row>
    <row r="19" spans="2:5" ht="21.75" customHeight="1" x14ac:dyDescent="0.35">
      <c r="B19" s="2" t="s">
        <v>37</v>
      </c>
      <c r="C19" s="9" t="str">
        <f>IF(C18&lt;18.5,"Underweight",IF(C18&lt;25,"Normal",IF(C18&lt;30,"Overweight","Obese")))</f>
        <v>Normal</v>
      </c>
      <c r="D19" s="4" t="s">
        <v>7</v>
      </c>
      <c r="E19" s="5" t="s">
        <v>38</v>
      </c>
    </row>
    <row r="20" spans="2:5" ht="7.5" customHeight="1" x14ac:dyDescent="0.35"/>
    <row r="21" spans="2:5" ht="21.75" customHeight="1" x14ac:dyDescent="0.35">
      <c r="B21" s="32" t="s">
        <v>39</v>
      </c>
      <c r="C21" s="32"/>
      <c r="D21" s="32"/>
      <c r="E21" s="32"/>
    </row>
    <row r="22" spans="2:5" ht="21.75" customHeight="1" x14ac:dyDescent="0.35">
      <c r="B22" s="1" t="s">
        <v>40</v>
      </c>
      <c r="C22" s="1" t="s">
        <v>41</v>
      </c>
      <c r="D22" s="1" t="s">
        <v>42</v>
      </c>
      <c r="E22" s="1" t="s">
        <v>43</v>
      </c>
    </row>
    <row r="23" spans="2:5" ht="19.5" customHeight="1" x14ac:dyDescent="0.35">
      <c r="B23" s="11" t="s">
        <v>44</v>
      </c>
      <c r="C23" s="11" t="s">
        <v>45</v>
      </c>
      <c r="D23" s="11" t="s">
        <v>46</v>
      </c>
      <c r="E23" s="11" t="s">
        <v>47</v>
      </c>
    </row>
    <row r="24" spans="2:5" ht="19.5" customHeight="1" x14ac:dyDescent="0.35">
      <c r="B24" s="12" t="s">
        <v>48</v>
      </c>
      <c r="C24" s="12" t="s">
        <v>49</v>
      </c>
      <c r="D24" s="12" t="s">
        <v>50</v>
      </c>
      <c r="E24" s="12" t="s">
        <v>51</v>
      </c>
    </row>
    <row r="25" spans="2:5" ht="19.5" customHeight="1" x14ac:dyDescent="0.35">
      <c r="B25" s="13" t="s">
        <v>52</v>
      </c>
      <c r="C25" s="13" t="s">
        <v>53</v>
      </c>
      <c r="D25" s="13" t="s">
        <v>54</v>
      </c>
      <c r="E25" s="13" t="s">
        <v>55</v>
      </c>
    </row>
    <row r="26" spans="2:5" ht="19.5" customHeight="1" x14ac:dyDescent="0.35">
      <c r="B26" s="14" t="s">
        <v>56</v>
      </c>
      <c r="C26" s="14" t="s">
        <v>57</v>
      </c>
      <c r="D26" s="14" t="s">
        <v>58</v>
      </c>
      <c r="E26" s="14" t="s">
        <v>59</v>
      </c>
    </row>
  </sheetData>
  <mergeCells count="5">
    <mergeCell ref="B1:E1"/>
    <mergeCell ref="B2:E2"/>
    <mergeCell ref="B4:E4"/>
    <mergeCell ref="B14:E14"/>
    <mergeCell ref="B21:E21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B1:I18"/>
  <sheetViews>
    <sheetView showGridLines="0"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B1" sqref="B1:I1"/>
    </sheetView>
  </sheetViews>
  <sheetFormatPr defaultColWidth="8.6328125" defaultRowHeight="14.5" x14ac:dyDescent="0.35"/>
  <cols>
    <col min="1" max="1" width="2" customWidth="1"/>
    <col min="2" max="2" width="13" customWidth="1"/>
    <col min="3" max="3" width="20" customWidth="1"/>
    <col min="4" max="4" width="16" customWidth="1"/>
    <col min="5" max="6" width="7" customWidth="1"/>
    <col min="7" max="7" width="13" customWidth="1"/>
    <col min="8" max="8" width="16" customWidth="1"/>
    <col min="9" max="9" width="20" customWidth="1"/>
    <col min="10" max="10" width="2" customWidth="1"/>
  </cols>
  <sheetData>
    <row r="1" spans="2:9" ht="31.5" customHeight="1" x14ac:dyDescent="0.35">
      <c r="B1" s="33" t="s">
        <v>127</v>
      </c>
      <c r="C1" s="33"/>
      <c r="D1" s="33"/>
      <c r="E1" s="33"/>
      <c r="F1" s="33"/>
      <c r="G1" s="33"/>
      <c r="H1" s="33"/>
      <c r="I1" s="33"/>
    </row>
    <row r="2" spans="2:9" ht="21.75" customHeight="1" x14ac:dyDescent="0.35">
      <c r="B2" s="34" t="s">
        <v>60</v>
      </c>
      <c r="C2" s="34"/>
      <c r="D2" s="34"/>
      <c r="E2" s="34"/>
      <c r="F2" s="34"/>
      <c r="G2" s="34"/>
      <c r="H2" s="34"/>
      <c r="I2" s="34"/>
    </row>
    <row r="3" spans="2:9" ht="7.5" customHeight="1" x14ac:dyDescent="0.35"/>
    <row r="4" spans="2:9" ht="30" customHeight="1" x14ac:dyDescent="0.35">
      <c r="B4" s="1" t="s">
        <v>24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32</v>
      </c>
      <c r="H4" s="1" t="s">
        <v>65</v>
      </c>
      <c r="I4" s="1" t="s">
        <v>5</v>
      </c>
    </row>
    <row r="5" spans="2:9" ht="19.5" customHeight="1" x14ac:dyDescent="0.35">
      <c r="B5" s="15">
        <v>46119</v>
      </c>
      <c r="C5" s="6" t="s">
        <v>66</v>
      </c>
      <c r="D5" s="6" t="s">
        <v>67</v>
      </c>
      <c r="E5" s="6">
        <v>4</v>
      </c>
      <c r="F5" s="6">
        <v>10</v>
      </c>
      <c r="G5" s="6">
        <v>60</v>
      </c>
      <c r="H5" s="16">
        <f t="shared" ref="H5:H16" si="0">E5*F5*G5</f>
        <v>2400</v>
      </c>
      <c r="I5" s="6"/>
    </row>
    <row r="6" spans="2:9" ht="19.5" customHeight="1" x14ac:dyDescent="0.35">
      <c r="B6" s="17">
        <v>46119</v>
      </c>
      <c r="C6" s="3" t="s">
        <v>68</v>
      </c>
      <c r="D6" s="3" t="s">
        <v>67</v>
      </c>
      <c r="E6" s="3">
        <v>3</v>
      </c>
      <c r="F6" s="3">
        <v>12</v>
      </c>
      <c r="G6" s="3">
        <v>30</v>
      </c>
      <c r="H6" s="16">
        <f t="shared" si="0"/>
        <v>1080</v>
      </c>
      <c r="I6" s="3"/>
    </row>
    <row r="7" spans="2:9" ht="19.5" customHeight="1" x14ac:dyDescent="0.35">
      <c r="B7" s="15">
        <v>46120</v>
      </c>
      <c r="C7" s="6" t="s">
        <v>69</v>
      </c>
      <c r="D7" s="6" t="s">
        <v>70</v>
      </c>
      <c r="E7" s="6">
        <v>4</v>
      </c>
      <c r="F7" s="6">
        <v>10</v>
      </c>
      <c r="G7" s="6">
        <v>80</v>
      </c>
      <c r="H7" s="16">
        <f t="shared" si="0"/>
        <v>3200</v>
      </c>
      <c r="I7" s="6"/>
    </row>
    <row r="8" spans="2:9" ht="19.5" customHeight="1" x14ac:dyDescent="0.35">
      <c r="B8" s="17">
        <v>46120</v>
      </c>
      <c r="C8" s="3" t="s">
        <v>71</v>
      </c>
      <c r="D8" s="3" t="s">
        <v>70</v>
      </c>
      <c r="E8" s="3">
        <v>3</v>
      </c>
      <c r="F8" s="3">
        <v>15</v>
      </c>
      <c r="G8" s="3">
        <v>100</v>
      </c>
      <c r="H8" s="16">
        <f t="shared" si="0"/>
        <v>4500</v>
      </c>
      <c r="I8" s="3"/>
    </row>
    <row r="9" spans="2:9" ht="19.5" customHeight="1" x14ac:dyDescent="0.35">
      <c r="B9" s="15">
        <v>46121</v>
      </c>
      <c r="C9" s="6" t="s">
        <v>72</v>
      </c>
      <c r="D9" s="6" t="s">
        <v>73</v>
      </c>
      <c r="E9" s="6">
        <v>4</v>
      </c>
      <c r="F9" s="6">
        <v>8</v>
      </c>
      <c r="G9" s="6">
        <v>90</v>
      </c>
      <c r="H9" s="16">
        <f t="shared" si="0"/>
        <v>2880</v>
      </c>
      <c r="I9" s="6"/>
    </row>
    <row r="10" spans="2:9" ht="19.5" customHeight="1" x14ac:dyDescent="0.35">
      <c r="B10" s="17">
        <v>46121</v>
      </c>
      <c r="C10" s="3" t="s">
        <v>74</v>
      </c>
      <c r="D10" s="3" t="s">
        <v>73</v>
      </c>
      <c r="E10" s="3">
        <v>3</v>
      </c>
      <c r="F10" s="3">
        <v>10</v>
      </c>
      <c r="G10" s="3">
        <v>0</v>
      </c>
      <c r="H10" s="16">
        <f t="shared" si="0"/>
        <v>0</v>
      </c>
      <c r="I10" s="3"/>
    </row>
    <row r="11" spans="2:9" ht="19.5" customHeight="1" x14ac:dyDescent="0.35">
      <c r="B11" s="15">
        <v>46122</v>
      </c>
      <c r="C11" s="6" t="s">
        <v>75</v>
      </c>
      <c r="D11" s="6" t="s">
        <v>76</v>
      </c>
      <c r="E11" s="6">
        <v>3</v>
      </c>
      <c r="F11" s="6">
        <v>10</v>
      </c>
      <c r="G11" s="6">
        <v>40</v>
      </c>
      <c r="H11" s="16">
        <f t="shared" si="0"/>
        <v>1200</v>
      </c>
      <c r="I11" s="6"/>
    </row>
    <row r="12" spans="2:9" ht="19.5" customHeight="1" x14ac:dyDescent="0.35">
      <c r="B12" s="17">
        <v>46123</v>
      </c>
      <c r="C12" s="3" t="s">
        <v>77</v>
      </c>
      <c r="D12" s="3" t="s">
        <v>78</v>
      </c>
      <c r="E12" s="3">
        <v>3</v>
      </c>
      <c r="F12" s="3">
        <v>12</v>
      </c>
      <c r="G12" s="3">
        <v>15</v>
      </c>
      <c r="H12" s="16">
        <f t="shared" si="0"/>
        <v>540</v>
      </c>
      <c r="I12" s="3"/>
    </row>
    <row r="13" spans="2:9" ht="19.5" customHeight="1" x14ac:dyDescent="0.35">
      <c r="B13" s="15">
        <v>46123</v>
      </c>
      <c r="C13" s="6" t="s">
        <v>79</v>
      </c>
      <c r="D13" s="6" t="s">
        <v>78</v>
      </c>
      <c r="E13" s="6">
        <v>3</v>
      </c>
      <c r="F13" s="6">
        <v>12</v>
      </c>
      <c r="G13" s="6">
        <v>0</v>
      </c>
      <c r="H13" s="16">
        <f t="shared" si="0"/>
        <v>0</v>
      </c>
      <c r="I13" s="6"/>
    </row>
    <row r="14" spans="2:9" ht="19.5" customHeight="1" x14ac:dyDescent="0.35">
      <c r="B14" s="17">
        <v>46124</v>
      </c>
      <c r="C14" s="3" t="s">
        <v>80</v>
      </c>
      <c r="D14" s="3" t="s">
        <v>81</v>
      </c>
      <c r="E14" s="3">
        <v>1</v>
      </c>
      <c r="F14" s="3">
        <v>20</v>
      </c>
      <c r="G14" s="3">
        <v>0</v>
      </c>
      <c r="H14" s="16">
        <f t="shared" si="0"/>
        <v>0</v>
      </c>
      <c r="I14" s="3"/>
    </row>
    <row r="15" spans="2:9" ht="19.5" customHeight="1" x14ac:dyDescent="0.35">
      <c r="B15" s="15">
        <v>46125</v>
      </c>
      <c r="C15" s="6" t="s">
        <v>66</v>
      </c>
      <c r="D15" s="6" t="s">
        <v>67</v>
      </c>
      <c r="E15" s="6">
        <v>4</v>
      </c>
      <c r="F15" s="6">
        <v>10</v>
      </c>
      <c r="G15" s="6">
        <v>65</v>
      </c>
      <c r="H15" s="16">
        <f t="shared" si="0"/>
        <v>2600</v>
      </c>
      <c r="I15" s="6"/>
    </row>
    <row r="16" spans="2:9" ht="19.5" customHeight="1" x14ac:dyDescent="0.35">
      <c r="B16" s="17">
        <v>46125</v>
      </c>
      <c r="C16" s="3" t="s">
        <v>69</v>
      </c>
      <c r="D16" s="3" t="s">
        <v>70</v>
      </c>
      <c r="E16" s="3">
        <v>4</v>
      </c>
      <c r="F16" s="3">
        <v>10</v>
      </c>
      <c r="G16" s="3">
        <v>85</v>
      </c>
      <c r="H16" s="16">
        <f t="shared" si="0"/>
        <v>3400</v>
      </c>
      <c r="I16" s="3"/>
    </row>
    <row r="18" spans="2:9" ht="24" customHeight="1" x14ac:dyDescent="0.35">
      <c r="B18" s="35" t="s">
        <v>82</v>
      </c>
      <c r="C18" s="35"/>
      <c r="D18" s="35"/>
      <c r="E18" s="35"/>
      <c r="F18" s="18">
        <f>SUM(E5:E16)</f>
        <v>39</v>
      </c>
      <c r="G18" s="18">
        <f>SUM(F5:F16)</f>
        <v>139</v>
      </c>
      <c r="H18" s="18">
        <f>SUM(H5:H16)</f>
        <v>21800</v>
      </c>
      <c r="I18" s="18">
        <f>COUNTA(B5:B16)</f>
        <v>12</v>
      </c>
    </row>
  </sheetData>
  <mergeCells count="3">
    <mergeCell ref="B1:I1"/>
    <mergeCell ref="B2:I2"/>
    <mergeCell ref="B18:E18"/>
  </mergeCells>
  <dataValidations count="2">
    <dataValidation type="list" allowBlank="1" sqref="C5:C200" xr:uid="{00000000-0002-0000-0100-000000000000}">
      <formula1>"Bench Press,Squats,Deadlift,Pull-ups,Shoulder Press,Bicep Curls,Tricep Dips,Leg Press,Treadmill,Cycling,Plank,Crunches"</formula1>
      <formula2>0</formula2>
    </dataValidation>
    <dataValidation type="list" allowBlank="1" sqref="D5:D200" xr:uid="{00000000-0002-0000-0100-000001000000}">
      <formula1>"Chest,Back,Legs,Shoulders,Arms,Core,Cardio"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5723"/>
    <pageSetUpPr fitToPage="1"/>
  </sheetPr>
  <dimension ref="B1:K1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:K1"/>
    </sheetView>
  </sheetViews>
  <sheetFormatPr defaultColWidth="8.6328125" defaultRowHeight="14.5" x14ac:dyDescent="0.35"/>
  <cols>
    <col min="1" max="1" width="2" customWidth="1"/>
    <col min="2" max="2" width="13" customWidth="1"/>
    <col min="3" max="3" width="12" customWidth="1"/>
    <col min="4" max="7" width="11" customWidth="1"/>
    <col min="8" max="11" width="15" customWidth="1"/>
    <col min="12" max="12" width="2" customWidth="1"/>
  </cols>
  <sheetData>
    <row r="1" spans="2:11" ht="31.5" customHeight="1" x14ac:dyDescent="0.35">
      <c r="B1" s="33" t="s">
        <v>125</v>
      </c>
      <c r="C1" s="33"/>
      <c r="D1" s="33"/>
      <c r="E1" s="33"/>
      <c r="F1" s="33"/>
      <c r="G1" s="33"/>
      <c r="H1" s="33"/>
      <c r="I1" s="33"/>
      <c r="J1" s="33"/>
      <c r="K1" s="33"/>
    </row>
    <row r="2" spans="2:11" ht="21.75" customHeight="1" x14ac:dyDescent="0.35">
      <c r="B2" s="34" t="s">
        <v>83</v>
      </c>
      <c r="C2" s="34"/>
      <c r="D2" s="34"/>
      <c r="E2" s="34"/>
      <c r="F2" s="34"/>
      <c r="G2" s="34"/>
      <c r="H2" s="34"/>
      <c r="I2" s="34"/>
      <c r="J2" s="34"/>
      <c r="K2" s="34"/>
    </row>
    <row r="3" spans="2:11" ht="7.5" customHeight="1" x14ac:dyDescent="0.35"/>
    <row r="4" spans="2:11" ht="36" customHeight="1" x14ac:dyDescent="0.35">
      <c r="B4" s="1" t="s">
        <v>24</v>
      </c>
      <c r="C4" s="1" t="s">
        <v>84</v>
      </c>
      <c r="D4" s="1" t="s">
        <v>85</v>
      </c>
      <c r="E4" s="1" t="s">
        <v>86</v>
      </c>
      <c r="F4" s="1" t="s">
        <v>87</v>
      </c>
      <c r="G4" s="1" t="s">
        <v>88</v>
      </c>
      <c r="H4" s="1" t="s">
        <v>89</v>
      </c>
      <c r="I4" s="1" t="s">
        <v>90</v>
      </c>
      <c r="J4" s="1" t="s">
        <v>91</v>
      </c>
      <c r="K4" s="1" t="s">
        <v>92</v>
      </c>
    </row>
    <row r="5" spans="2:11" ht="21.75" customHeight="1" x14ac:dyDescent="0.35">
      <c r="B5" s="15">
        <v>46083</v>
      </c>
      <c r="C5" s="6">
        <v>76</v>
      </c>
      <c r="D5" s="6">
        <v>98</v>
      </c>
      <c r="E5" s="6">
        <v>86</v>
      </c>
      <c r="F5" s="6">
        <v>33</v>
      </c>
      <c r="G5" s="6">
        <v>56</v>
      </c>
      <c r="H5" s="19" t="s">
        <v>7</v>
      </c>
      <c r="I5" s="19" t="s">
        <v>7</v>
      </c>
      <c r="J5" s="19" t="s">
        <v>7</v>
      </c>
      <c r="K5" s="19" t="s">
        <v>7</v>
      </c>
    </row>
    <row r="6" spans="2:11" ht="21.75" customHeight="1" x14ac:dyDescent="0.35">
      <c r="B6" s="17">
        <v>46090</v>
      </c>
      <c r="C6" s="3">
        <v>75.2</v>
      </c>
      <c r="D6" s="3">
        <v>97</v>
      </c>
      <c r="E6" s="3">
        <v>85</v>
      </c>
      <c r="F6" s="3">
        <v>33.5</v>
      </c>
      <c r="G6" s="3">
        <v>55.5</v>
      </c>
      <c r="H6" s="20">
        <f t="shared" ref="H6:K11" si="0">C6-C5</f>
        <v>-0.79999999999999716</v>
      </c>
      <c r="I6" s="20">
        <f t="shared" si="0"/>
        <v>-1</v>
      </c>
      <c r="J6" s="20">
        <f t="shared" si="0"/>
        <v>-1</v>
      </c>
      <c r="K6" s="20">
        <f t="shared" si="0"/>
        <v>0.5</v>
      </c>
    </row>
    <row r="7" spans="2:11" ht="21.75" customHeight="1" x14ac:dyDescent="0.35">
      <c r="B7" s="15">
        <v>46097</v>
      </c>
      <c r="C7" s="6">
        <v>74.5</v>
      </c>
      <c r="D7" s="6">
        <v>96</v>
      </c>
      <c r="E7" s="6">
        <v>84</v>
      </c>
      <c r="F7" s="6">
        <v>34</v>
      </c>
      <c r="G7" s="6">
        <v>55</v>
      </c>
      <c r="H7" s="20">
        <f t="shared" si="0"/>
        <v>-0.70000000000000284</v>
      </c>
      <c r="I7" s="20">
        <f t="shared" si="0"/>
        <v>-1</v>
      </c>
      <c r="J7" s="20">
        <f t="shared" si="0"/>
        <v>-1</v>
      </c>
      <c r="K7" s="20">
        <f t="shared" si="0"/>
        <v>0.5</v>
      </c>
    </row>
    <row r="8" spans="2:11" ht="21.75" customHeight="1" x14ac:dyDescent="0.35">
      <c r="B8" s="17">
        <v>46104</v>
      </c>
      <c r="C8" s="3">
        <v>73.8</v>
      </c>
      <c r="D8" s="3">
        <v>95</v>
      </c>
      <c r="E8" s="3">
        <v>83</v>
      </c>
      <c r="F8" s="3">
        <v>34.5</v>
      </c>
      <c r="G8" s="3">
        <v>54.5</v>
      </c>
      <c r="H8" s="20">
        <f t="shared" si="0"/>
        <v>-0.70000000000000284</v>
      </c>
      <c r="I8" s="20">
        <f t="shared" si="0"/>
        <v>-1</v>
      </c>
      <c r="J8" s="20">
        <f t="shared" si="0"/>
        <v>-1</v>
      </c>
      <c r="K8" s="20">
        <f t="shared" si="0"/>
        <v>0.5</v>
      </c>
    </row>
    <row r="9" spans="2:11" ht="21.75" customHeight="1" x14ac:dyDescent="0.35">
      <c r="B9" s="15">
        <v>46111</v>
      </c>
      <c r="C9" s="6">
        <v>73</v>
      </c>
      <c r="D9" s="6">
        <v>94</v>
      </c>
      <c r="E9" s="6">
        <v>82</v>
      </c>
      <c r="F9" s="6">
        <v>35</v>
      </c>
      <c r="G9" s="6">
        <v>54</v>
      </c>
      <c r="H9" s="20">
        <f t="shared" si="0"/>
        <v>-0.79999999999999716</v>
      </c>
      <c r="I9" s="20">
        <f t="shared" si="0"/>
        <v>-1</v>
      </c>
      <c r="J9" s="20">
        <f t="shared" si="0"/>
        <v>-1</v>
      </c>
      <c r="K9" s="20">
        <f t="shared" si="0"/>
        <v>0.5</v>
      </c>
    </row>
    <row r="10" spans="2:11" ht="21.75" customHeight="1" x14ac:dyDescent="0.35">
      <c r="B10" s="17">
        <v>46118</v>
      </c>
      <c r="C10" s="3">
        <v>72.5</v>
      </c>
      <c r="D10" s="3">
        <v>93</v>
      </c>
      <c r="E10" s="3">
        <v>81</v>
      </c>
      <c r="F10" s="3">
        <v>35.5</v>
      </c>
      <c r="G10" s="3">
        <v>53.5</v>
      </c>
      <c r="H10" s="20">
        <f t="shared" si="0"/>
        <v>-0.5</v>
      </c>
      <c r="I10" s="20">
        <f t="shared" si="0"/>
        <v>-1</v>
      </c>
      <c r="J10" s="20">
        <f t="shared" si="0"/>
        <v>-1</v>
      </c>
      <c r="K10" s="20">
        <f t="shared" si="0"/>
        <v>0.5</v>
      </c>
    </row>
    <row r="11" spans="2:11" ht="21.75" customHeight="1" x14ac:dyDescent="0.35">
      <c r="B11" s="15">
        <v>46125</v>
      </c>
      <c r="C11" s="6">
        <v>72</v>
      </c>
      <c r="D11" s="6">
        <v>92</v>
      </c>
      <c r="E11" s="6">
        <v>80</v>
      </c>
      <c r="F11" s="6">
        <v>36</v>
      </c>
      <c r="G11" s="6">
        <v>53</v>
      </c>
      <c r="H11" s="20">
        <f t="shared" si="0"/>
        <v>-0.5</v>
      </c>
      <c r="I11" s="20">
        <f t="shared" si="0"/>
        <v>-1</v>
      </c>
      <c r="J11" s="20">
        <f t="shared" si="0"/>
        <v>-1</v>
      </c>
      <c r="K11" s="20">
        <f t="shared" si="0"/>
        <v>0.5</v>
      </c>
    </row>
  </sheetData>
  <mergeCells count="2">
    <mergeCell ref="B1:K1"/>
    <mergeCell ref="B2:K2"/>
  </mergeCells>
  <conditionalFormatting sqref="H6:K200">
    <cfRule type="cellIs" dxfId="5" priority="2" operator="lessThan">
      <formula>0</formula>
    </cfRule>
    <cfRule type="cellIs" dxfId="4" priority="3" operator="greaterThan">
      <formula>0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  <pageSetUpPr fitToPage="1"/>
  </sheetPr>
  <dimension ref="B1:I36"/>
  <sheetViews>
    <sheetView showGridLines="0" zoomScaleNormal="100" workbookViewId="0">
      <selection activeCell="B1" sqref="B1:I1"/>
    </sheetView>
  </sheetViews>
  <sheetFormatPr defaultColWidth="8.6328125" defaultRowHeight="14.5" x14ac:dyDescent="0.35"/>
  <cols>
    <col min="1" max="1" width="2" customWidth="1"/>
    <col min="2" max="9" width="16" customWidth="1"/>
    <col min="10" max="10" width="2" customWidth="1"/>
  </cols>
  <sheetData>
    <row r="1" spans="2:9" ht="36" customHeight="1" x14ac:dyDescent="0.35">
      <c r="B1" s="27" t="s">
        <v>124</v>
      </c>
      <c r="C1" s="27"/>
      <c r="D1" s="27"/>
      <c r="E1" s="27"/>
      <c r="F1" s="27"/>
      <c r="G1" s="27"/>
      <c r="H1" s="27"/>
      <c r="I1" s="27"/>
    </row>
    <row r="2" spans="2:9" ht="21.75" customHeight="1" x14ac:dyDescent="0.35">
      <c r="B2" s="34" t="s">
        <v>115</v>
      </c>
      <c r="C2" s="34"/>
      <c r="D2" s="34"/>
      <c r="E2" s="34"/>
      <c r="F2" s="34"/>
      <c r="G2" s="34"/>
      <c r="H2" s="34"/>
      <c r="I2" s="34"/>
    </row>
    <row r="3" spans="2:9" ht="12" customHeight="1" x14ac:dyDescent="0.35"/>
    <row r="4" spans="2:9" ht="19.5" customHeight="1" x14ac:dyDescent="0.35">
      <c r="B4" s="43" t="s">
        <v>116</v>
      </c>
      <c r="C4" s="43"/>
      <c r="D4" s="44" t="s">
        <v>34</v>
      </c>
      <c r="E4" s="44"/>
      <c r="F4" s="45" t="s">
        <v>117</v>
      </c>
      <c r="G4" s="45"/>
      <c r="H4" s="46" t="s">
        <v>118</v>
      </c>
      <c r="I4" s="46"/>
    </row>
    <row r="5" spans="2:9" ht="39.75" customHeight="1" x14ac:dyDescent="0.35">
      <c r="B5" s="39">
        <f>'User Profile'!C9</f>
        <v>79</v>
      </c>
      <c r="C5" s="39"/>
      <c r="D5" s="40">
        <f>'User Profile'!C18</f>
        <v>24.655909615804749</v>
      </c>
      <c r="E5" s="40"/>
      <c r="F5" s="41">
        <f>COUNTA('Workout Log'!B5:B200)</f>
        <v>13</v>
      </c>
      <c r="G5" s="41"/>
      <c r="H5" s="42">
        <f>SUM('Workout Log'!H5:H200)</f>
        <v>43600</v>
      </c>
      <c r="I5" s="42"/>
    </row>
    <row r="6" spans="2:9" ht="15.75" customHeight="1" x14ac:dyDescent="0.35">
      <c r="B6" s="43" t="s">
        <v>15</v>
      </c>
      <c r="C6" s="43"/>
      <c r="D6" s="44" t="s">
        <v>7</v>
      </c>
      <c r="E6" s="44"/>
      <c r="F6" s="45" t="s">
        <v>119</v>
      </c>
      <c r="G6" s="45"/>
      <c r="H6" s="46" t="s">
        <v>15</v>
      </c>
      <c r="I6" s="46"/>
    </row>
    <row r="7" spans="2:9" ht="13.5" customHeight="1" x14ac:dyDescent="0.35"/>
    <row r="30" spans="2:9" ht="7.5" customHeight="1" x14ac:dyDescent="0.35"/>
    <row r="31" spans="2:9" ht="21.75" customHeight="1" x14ac:dyDescent="0.35">
      <c r="B31" s="32" t="s">
        <v>120</v>
      </c>
      <c r="C31" s="32"/>
      <c r="D31" s="32"/>
      <c r="E31" s="32"/>
      <c r="F31" s="32"/>
      <c r="G31" s="32"/>
      <c r="H31" s="32"/>
      <c r="I31" s="32"/>
    </row>
    <row r="32" spans="2:9" ht="21.75" customHeight="1" x14ac:dyDescent="0.35">
      <c r="B32" s="1" t="s">
        <v>27</v>
      </c>
      <c r="C32" s="1" t="s">
        <v>3</v>
      </c>
      <c r="D32" s="37"/>
      <c r="E32" s="37"/>
      <c r="F32" s="37"/>
      <c r="G32" s="37"/>
      <c r="H32" s="37"/>
      <c r="I32" s="37"/>
    </row>
    <row r="33" spans="2:5" ht="21.75" customHeight="1" x14ac:dyDescent="0.35">
      <c r="B33" s="2" t="s">
        <v>121</v>
      </c>
      <c r="C33" s="36">
        <f>'User Profile'!C9</f>
        <v>79</v>
      </c>
      <c r="D33" s="36"/>
      <c r="E33" s="36"/>
    </row>
    <row r="34" spans="2:5" ht="21.75" customHeight="1" x14ac:dyDescent="0.35">
      <c r="B34" s="2" t="s">
        <v>122</v>
      </c>
      <c r="C34" s="38">
        <f>'User Profile'!C18</f>
        <v>24.655909615804749</v>
      </c>
      <c r="D34" s="38"/>
      <c r="E34" s="38"/>
    </row>
    <row r="35" spans="2:5" ht="21.75" customHeight="1" x14ac:dyDescent="0.35">
      <c r="B35" s="2" t="s">
        <v>37</v>
      </c>
      <c r="C35" s="36" t="str">
        <f>'User Profile'!C19</f>
        <v>Normal</v>
      </c>
      <c r="D35" s="36"/>
      <c r="E35" s="36"/>
    </row>
    <row r="36" spans="2:5" ht="21.75" customHeight="1" x14ac:dyDescent="0.35">
      <c r="B36" s="2" t="s">
        <v>20</v>
      </c>
      <c r="C36" s="36">
        <f>'User Profile'!C13</f>
        <v>0</v>
      </c>
      <c r="D36" s="36"/>
      <c r="E36" s="36"/>
    </row>
  </sheetData>
  <mergeCells count="20">
    <mergeCell ref="B1:I1"/>
    <mergeCell ref="B2:I2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C36:E36"/>
    <mergeCell ref="B31:I31"/>
    <mergeCell ref="D32:I32"/>
    <mergeCell ref="C33:E33"/>
    <mergeCell ref="C34:E34"/>
    <mergeCell ref="C35:E35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  <pageSetUpPr fitToPage="1"/>
  </sheetPr>
  <dimension ref="B1:H19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:H1"/>
    </sheetView>
  </sheetViews>
  <sheetFormatPr defaultColWidth="8.6328125" defaultRowHeight="14.5" x14ac:dyDescent="0.35"/>
  <cols>
    <col min="1" max="1" width="2" customWidth="1"/>
    <col min="2" max="2" width="14" customWidth="1"/>
    <col min="3" max="3" width="16" customWidth="1"/>
    <col min="4" max="4" width="14" customWidth="1"/>
    <col min="5" max="5" width="16" customWidth="1"/>
    <col min="6" max="7" width="15" customWidth="1"/>
    <col min="8" max="8" width="16" customWidth="1"/>
    <col min="9" max="9" width="2" customWidth="1"/>
  </cols>
  <sheetData>
    <row r="1" spans="2:8" ht="31.5" customHeight="1" x14ac:dyDescent="0.35">
      <c r="B1" s="33" t="s">
        <v>126</v>
      </c>
      <c r="C1" s="33"/>
      <c r="D1" s="33"/>
      <c r="E1" s="33"/>
      <c r="F1" s="33"/>
      <c r="G1" s="33"/>
      <c r="H1" s="33"/>
    </row>
    <row r="2" spans="2:8" ht="21.75" customHeight="1" x14ac:dyDescent="0.35">
      <c r="B2" s="34" t="s">
        <v>93</v>
      </c>
      <c r="C2" s="34"/>
      <c r="D2" s="34"/>
      <c r="E2" s="34"/>
      <c r="F2" s="34"/>
      <c r="G2" s="34"/>
      <c r="H2" s="34"/>
    </row>
    <row r="3" spans="2:8" ht="7.5" customHeight="1" x14ac:dyDescent="0.35"/>
    <row r="4" spans="2:8" ht="36" customHeight="1" x14ac:dyDescent="0.35"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</row>
    <row r="5" spans="2:8" ht="21.75" customHeight="1" x14ac:dyDescent="0.35">
      <c r="B5" s="6" t="s">
        <v>101</v>
      </c>
      <c r="C5" s="6">
        <v>75.599999999999994</v>
      </c>
      <c r="D5" s="6">
        <v>4</v>
      </c>
      <c r="E5" s="6">
        <v>3200</v>
      </c>
      <c r="F5" s="19" t="s">
        <v>102</v>
      </c>
      <c r="G5" s="19" t="s">
        <v>102</v>
      </c>
      <c r="H5" s="21" t="s">
        <v>103</v>
      </c>
    </row>
    <row r="6" spans="2:8" ht="21.75" customHeight="1" x14ac:dyDescent="0.35">
      <c r="B6" s="3" t="s">
        <v>104</v>
      </c>
      <c r="C6" s="3">
        <v>74.8</v>
      </c>
      <c r="D6" s="3">
        <v>5</v>
      </c>
      <c r="E6" s="3">
        <v>3450</v>
      </c>
      <c r="F6" s="22">
        <f>(C6-C5)/C5*100</f>
        <v>-1.0582010582010546</v>
      </c>
      <c r="G6" s="22">
        <f>(E6-E5)/E5*100</f>
        <v>7.8125</v>
      </c>
      <c r="H6" s="23" t="str">
        <f>IF(E6&gt;E5,"✅ Improving","⚠️ Review")</f>
        <v>✅ Improving</v>
      </c>
    </row>
    <row r="7" spans="2:8" ht="21.75" customHeight="1" x14ac:dyDescent="0.35">
      <c r="B7" s="6" t="s">
        <v>105</v>
      </c>
      <c r="C7" s="6">
        <v>74.099999999999994</v>
      </c>
      <c r="D7" s="6">
        <v>4</v>
      </c>
      <c r="E7" s="6">
        <v>3600</v>
      </c>
      <c r="F7" s="24">
        <f>(C7-C6)/C6*100</f>
        <v>-0.93582887700535156</v>
      </c>
      <c r="G7" s="24">
        <f>(E7-E6)/E6*100</f>
        <v>4.3478260869565215</v>
      </c>
      <c r="H7" s="25" t="str">
        <f>IF(E7&gt;E6,"✅ Improving","⚠️ Review")</f>
        <v>✅ Improving</v>
      </c>
    </row>
    <row r="8" spans="2:8" ht="21.75" customHeight="1" x14ac:dyDescent="0.35">
      <c r="B8" s="3" t="s">
        <v>106</v>
      </c>
      <c r="C8" s="3">
        <v>73.400000000000006</v>
      </c>
      <c r="D8" s="3">
        <v>5</v>
      </c>
      <c r="E8" s="3">
        <v>3800</v>
      </c>
      <c r="F8" s="22">
        <f>(C8-C7)/C7*100</f>
        <v>-0.94466936572198212</v>
      </c>
      <c r="G8" s="22">
        <f>(E8-E7)/E7*100</f>
        <v>5.5555555555555554</v>
      </c>
      <c r="H8" s="23" t="str">
        <f>IF(E8&gt;E7,"✅ Improving","⚠️ Review")</f>
        <v>✅ Improving</v>
      </c>
    </row>
    <row r="9" spans="2:8" ht="21.75" customHeight="1" x14ac:dyDescent="0.35">
      <c r="B9" s="6" t="s">
        <v>107</v>
      </c>
      <c r="C9" s="6">
        <v>72.7</v>
      </c>
      <c r="D9" s="6">
        <v>5</v>
      </c>
      <c r="E9" s="6">
        <v>4100</v>
      </c>
      <c r="F9" s="24">
        <f>(C9-C8)/C8*100</f>
        <v>-0.95367847411444528</v>
      </c>
      <c r="G9" s="24">
        <f>(E9-E8)/E8*100</f>
        <v>7.8947368421052628</v>
      </c>
      <c r="H9" s="25" t="str">
        <f>IF(E9&gt;E8,"✅ Improving","⚠️ Review")</f>
        <v>✅ Improving</v>
      </c>
    </row>
    <row r="10" spans="2:8" ht="21.75" customHeight="1" x14ac:dyDescent="0.35">
      <c r="B10" s="3" t="s">
        <v>108</v>
      </c>
      <c r="C10" s="3">
        <v>72</v>
      </c>
      <c r="D10" s="3">
        <v>6</v>
      </c>
      <c r="E10" s="3">
        <v>4400</v>
      </c>
      <c r="F10" s="22">
        <f>(C10-C9)/C9*100</f>
        <v>-0.96286107290234224</v>
      </c>
      <c r="G10" s="22">
        <f>(E10-E9)/E9*100</f>
        <v>7.3170731707317067</v>
      </c>
      <c r="H10" s="23" t="str">
        <f>IF(E10&gt;E9,"✅ Improving","⚠️ Review")</f>
        <v>✅ Improving</v>
      </c>
    </row>
    <row r="12" spans="2:8" ht="7.5" customHeight="1" x14ac:dyDescent="0.35"/>
    <row r="13" spans="2:8" ht="21.75" customHeight="1" x14ac:dyDescent="0.35">
      <c r="B13" s="32" t="s">
        <v>109</v>
      </c>
      <c r="C13" s="32"/>
      <c r="D13" s="32"/>
      <c r="E13" s="32"/>
      <c r="F13" s="32"/>
      <c r="G13" s="32"/>
      <c r="H13" s="32"/>
    </row>
    <row r="14" spans="2:8" ht="21.75" customHeight="1" x14ac:dyDescent="0.35">
      <c r="B14" s="1" t="s">
        <v>27</v>
      </c>
      <c r="C14" s="1" t="s">
        <v>3</v>
      </c>
      <c r="D14" s="37"/>
      <c r="E14" s="37"/>
      <c r="F14" s="37"/>
      <c r="G14" s="37"/>
      <c r="H14" s="37"/>
    </row>
    <row r="15" spans="2:8" ht="21.75" customHeight="1" x14ac:dyDescent="0.35">
      <c r="B15" s="2" t="s">
        <v>110</v>
      </c>
      <c r="C15" s="26">
        <f>C5</f>
        <v>75.599999999999994</v>
      </c>
    </row>
    <row r="16" spans="2:8" ht="21.75" customHeight="1" x14ac:dyDescent="0.35">
      <c r="B16" s="2" t="s">
        <v>111</v>
      </c>
      <c r="C16" s="26">
        <f>C10</f>
        <v>72</v>
      </c>
    </row>
    <row r="17" spans="2:3" ht="21.75" customHeight="1" x14ac:dyDescent="0.35">
      <c r="B17" s="2" t="s">
        <v>112</v>
      </c>
      <c r="C17" s="26">
        <f>C5-C10</f>
        <v>3.5999999999999943</v>
      </c>
    </row>
    <row r="18" spans="2:3" ht="21.75" customHeight="1" x14ac:dyDescent="0.35">
      <c r="B18" s="2" t="s">
        <v>113</v>
      </c>
      <c r="C18" s="26">
        <f>MAX(E5:E10)</f>
        <v>4400</v>
      </c>
    </row>
    <row r="19" spans="2:3" ht="21.75" customHeight="1" x14ac:dyDescent="0.35">
      <c r="B19" s="2" t="s">
        <v>114</v>
      </c>
      <c r="C19" s="26">
        <f>AVERAGE(E5:E10)</f>
        <v>3758.3333333333335</v>
      </c>
    </row>
  </sheetData>
  <mergeCells count="4">
    <mergeCell ref="B1:H1"/>
    <mergeCell ref="B2:H2"/>
    <mergeCell ref="B13:H13"/>
    <mergeCell ref="D14:H14"/>
  </mergeCells>
  <conditionalFormatting sqref="F6:F10">
    <cfRule type="cellIs" dxfId="3" priority="2" operator="lessThan">
      <formula>0</formula>
    </cfRule>
    <cfRule type="cellIs" dxfId="2" priority="3" operator="greaterThan">
      <formula>0</formula>
    </cfRule>
  </conditionalFormatting>
  <conditionalFormatting sqref="G6:G10">
    <cfRule type="cellIs" dxfId="1" priority="4" operator="greaterThan">
      <formula>0</formula>
    </cfRule>
    <cfRule type="cellIs" dxfId="0" priority="5" operator="lessThan">
      <formula>0</formula>
    </cfRule>
  </conditionalFormatting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Profile</vt:lpstr>
      <vt:lpstr>Workout Log</vt:lpstr>
      <vt:lpstr>Measurements</vt:lpstr>
      <vt:lpstr>Dashboard</vt:lpstr>
      <vt:lpstr>Weekly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SAWAN</cp:lastModifiedBy>
  <cp:revision>1</cp:revision>
  <dcterms:created xsi:type="dcterms:W3CDTF">2026-04-13T06:27:20Z</dcterms:created>
  <dcterms:modified xsi:type="dcterms:W3CDTF">2026-04-15T06:20:06Z</dcterms:modified>
  <dc:language>en-US</dc:language>
</cp:coreProperties>
</file>